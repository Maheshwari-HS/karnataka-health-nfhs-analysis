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arnataka NFHS-5 vs 6" sheetId="1" state="visible" r:id="rId3"/>
    <sheet name="Notes" sheetId="2" state="visible" r:id="rId4"/>
  </sheets>
  <definedNames>
    <definedName function="false" hidden="true" localSheetId="0" name="_xlnm._FilterDatabase" vbProcedure="false">'Karnataka NFHS-5 vs 6'!$A$1:$G$102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3" authorId="0">
      <text>
        <r>
          <rPr>
            <sz val="10"/>
            <rFont val="Arial"/>
            <family val="2"/>
          </rPr>
          <t xml:space="preserve">Source value is '*' (suppressed or too few cases).</t>
        </r>
      </text>
    </comment>
    <comment ref="D43" authorId="0">
      <text>
        <r>
          <rPr>
            <sz val="10"/>
            <rFont val="Arial"/>
            <family val="2"/>
          </rPr>
          <t xml:space="preserve">Source value is -27, which is not a valid percentage. Likely an error in the source CSV. Treat as missing.</t>
        </r>
      </text>
    </comment>
  </commentList>
</comments>
</file>

<file path=xl/sharedStrings.xml><?xml version="1.0" encoding="utf-8"?>
<sst xmlns="http://schemas.openxmlformats.org/spreadsheetml/2006/main" count="122" uniqueCount="122">
  <si>
    <t xml:space="preserve">Indicator No</t>
  </si>
  <si>
    <t xml:space="preserve">Indicator</t>
  </si>
  <si>
    <t xml:space="preserve">NFHS-6 Urban</t>
  </si>
  <si>
    <t xml:space="preserve">NFHS-6 Rural</t>
  </si>
  <si>
    <t xml:space="preserve">NFHS-6 Total</t>
  </si>
  <si>
    <t xml:space="preserve">NFHS-5 Total</t>
  </si>
  <si>
    <t xml:space="preserve">Change (NFHS-6 minus NFHS-5)</t>
  </si>
  <si>
    <t xml:space="preserve">Population below age 5 years (%)</t>
  </si>
  <si>
    <t xml:space="preserve">Population below age 15 years (%)</t>
  </si>
  <si>
    <t xml:space="preserve">Population age 60 years and above (%)</t>
  </si>
  <si>
    <t xml:space="preserve">Population living in households with electricity (%)</t>
  </si>
  <si>
    <t xml:space="preserve">Population living in households with an improved drinking-water source (%)</t>
  </si>
  <si>
    <t xml:space="preserve">Households using iodized salt (%)</t>
  </si>
  <si>
    <t xml:space="preserve">Households with any usual member covered under a health insurance/financing scheme (%)</t>
  </si>
  <si>
    <t xml:space="preserve">Households with any usual member having a bank account/post office account (%)</t>
  </si>
  <si>
    <t xml:space="preserve">Female population age 6 years and above who ever attended school (%)</t>
  </si>
  <si>
    <t xml:space="preserve">Households with any usual female members owning a house and/or land (alone or jointly with others) (%)</t>
  </si>
  <si>
    <t xml:space="preserve">Children age 2-4 years who attended pre-school (%)</t>
  </si>
  <si>
    <t xml:space="preserve">Women with 10 or more years of schooling (%)</t>
  </si>
  <si>
    <t xml:space="preserve">Men with 10 or more years of schooling (%)</t>
  </si>
  <si>
    <t xml:space="preserve">Women who have ever used the internet (%)</t>
  </si>
  <si>
    <t xml:space="preserve">Men who have ever used the internet (%)</t>
  </si>
  <si>
    <t xml:space="preserve">Women age 20-24 years married before age 18 years (%)</t>
  </si>
  <si>
    <t xml:space="preserve">Men age 25-29 years married before age 21 years (%)</t>
  </si>
  <si>
    <t xml:space="preserve">Total fertility rate (children per woman)</t>
  </si>
  <si>
    <t xml:space="preserve">Women age 15-19 years who were already mothers or pregnant at the time of the survey (%)</t>
  </si>
  <si>
    <t xml:space="preserve">Any method - currently married women age 15-49 years using family planning (%)</t>
  </si>
  <si>
    <t xml:space="preserve">Any modern method - currently married women age 15-49 years (%)</t>
  </si>
  <si>
    <t xml:space="preserve">Any traditional method (%)</t>
  </si>
  <si>
    <t xml:space="preserve">Female sterilization (%)</t>
  </si>
  <si>
    <t xml:space="preserve">Male sterilization (%)</t>
  </si>
  <si>
    <t xml:space="preserve">Total unmet need for family planning (%)</t>
  </si>
  <si>
    <t xml:space="preserve">Unmet need for spacing (%)</t>
  </si>
  <si>
    <t xml:space="preserve">Unmet need for limiting (%)</t>
  </si>
  <si>
    <t xml:space="preserve">Mothers who had an antenatal check-up in the first trimester (%)</t>
  </si>
  <si>
    <t xml:space="preserve">Mothers who had any antenatal care visits (%)</t>
  </si>
  <si>
    <t xml:space="preserve">Mothers who had at least 4 antenatal care visits (%)</t>
  </si>
  <si>
    <t xml:space="preserve">Mothers whose last birth was protected against neonatal tetanus (%)</t>
  </si>
  <si>
    <t xml:space="preserve">Mothers who consumed iron folic acid for 100 days or more when pregnant (%)</t>
  </si>
  <si>
    <t xml:space="preserve">Mothers who consumed iron folic acid for 180 days or more when pregnant (%)</t>
  </si>
  <si>
    <t xml:space="preserve">Registered pregnancies for which the mother received a Mother and Child Protection (MCP) card (%)</t>
  </si>
  <si>
    <t xml:space="preserve">Institutional births (%)</t>
  </si>
  <si>
    <t xml:space="preserve">Institutional births in public facility (%)</t>
  </si>
  <si>
    <t xml:space="preserve">Births attended by skilled health personnel (%)</t>
  </si>
  <si>
    <t xml:space="preserve">Births delivered by caesarean section (%)</t>
  </si>
  <si>
    <t xml:space="preserve">Births in a private health facility that were delivered by caesarean section (%)</t>
  </si>
  <si>
    <t xml:space="preserve">Births in a public health facility that were delivered by caesarean section (%)</t>
  </si>
  <si>
    <t xml:space="preserve">Mothers who received postnatal care from a doctor/nurse/LHV/ANM/midwife/other health personnel within 2 days of delivery (%)</t>
  </si>
  <si>
    <t xml:space="preserve">Children born at home who were taken to a health facility for a check-up within 24 hours of birth (%)</t>
  </si>
  <si>
    <t xml:space="preserve">*</t>
  </si>
  <si>
    <t xml:space="preserve">Children who received postnatal care from a doctor/nurse/LHV/ANM/midwife/other health personnel within 2 days of delivery (%)</t>
  </si>
  <si>
    <t xml:space="preserve">Children age 12-23 months fully vaccinated based on information from either vaccination card or mother's recall (%)</t>
  </si>
  <si>
    <t xml:space="preserve">Children age 12-23 months fully vaccinated based on information from vaccination card only (%)</t>
  </si>
  <si>
    <t xml:space="preserve">Children age 12-23 months who have received any vaccine (%)</t>
  </si>
  <si>
    <t xml:space="preserve">Children age 12-23 months who have received BCG (%)</t>
  </si>
  <si>
    <t xml:space="preserve">Children age 12-23 months who have received 3 doses of polio vaccine (%)</t>
  </si>
  <si>
    <t xml:space="preserve">Children age 12-23 months who have received 3 doses of pentavalent vaccine (%)</t>
  </si>
  <si>
    <t xml:space="preserve">Children age 12-23 months who have received the first dose of measles-containing vaccine (MCV) (%)</t>
  </si>
  <si>
    <t xml:space="preserve">Children age 24-35 months who have received a second dose of measles-containing vaccine (MCV) (%)</t>
  </si>
  <si>
    <t xml:space="preserve">Children age 12-23 months who have received birth dose of hepatitis B vaccine (%)</t>
  </si>
  <si>
    <t xml:space="preserve">Children age 12-23 months who have received 3 doses of rotavirus vaccine (%)</t>
  </si>
  <si>
    <t xml:space="preserve">Children age 9-35 months who received a vitamin A dose in the last 6 months (%)</t>
  </si>
  <si>
    <t xml:space="preserve">Children age 12-23 months who received most of their vaccinations in a public health facility (%)</t>
  </si>
  <si>
    <t xml:space="preserve">Children age 12-23 months who received most of their vaccinations in a private health facility (%)</t>
  </si>
  <si>
    <t xml:space="preserve">Prevalence of diarrhoea in the 2 weeks preceding the survey (%)</t>
  </si>
  <si>
    <t xml:space="preserve">Prevalence of severe diarrhoea in the 2 weeks preceding the survey (%)</t>
  </si>
  <si>
    <t xml:space="preserve">Prevalence of symptoms of acute respiratory infection (ARI) in the 2 weeks preceding the survey (%)</t>
  </si>
  <si>
    <t xml:space="preserve">Children with fever or symptoms of ARI in the 2 weeks preceding the survey taken to a health facility or health provider (%)</t>
  </si>
  <si>
    <t xml:space="preserve">Children under age 3 years breastfed within one hour of birth (%)</t>
  </si>
  <si>
    <t xml:space="preserve">Children under age 6 months exclusively breastfed (%)</t>
  </si>
  <si>
    <t xml:space="preserve">Children under age 6 months currently breastfeeding (%)</t>
  </si>
  <si>
    <t xml:space="preserve">Children under age 6 months exclusively breastfed or breastfeeding and consuming plain water only/other milk (%)</t>
  </si>
  <si>
    <t xml:space="preserve">Children age 6-8 months receiving solid or semi-solid food and breastmilk (%)</t>
  </si>
  <si>
    <t xml:space="preserve">Breastfeeding children age 6-23 months receiving an adequate diet (%)</t>
  </si>
  <si>
    <t xml:space="preserve">Non-breastfeeding children age 6-23 months receiving an adequate diet (%)</t>
  </si>
  <si>
    <t xml:space="preserve">Total children age 6-23 months receiving an adequate diet (%)</t>
  </si>
  <si>
    <t xml:space="preserve">Children under 5 years who are stunted (height-for-age) (%)</t>
  </si>
  <si>
    <t xml:space="preserve">Children under 5 years who are wasted (weight-for-height) (%)</t>
  </si>
  <si>
    <t xml:space="preserve">Children under 5 years who are severely wasted (weight-for-height) (%)</t>
  </si>
  <si>
    <t xml:space="preserve">Children under 5 years who are underweight (weight-for-age) (%)</t>
  </si>
  <si>
    <t xml:space="preserve">Children under 5 years who are overweight (weight-for-height) (%)</t>
  </si>
  <si>
    <t xml:space="preserve">Women whose Body Mass Index (BMI) is below normal (BMI &lt;18.5 kg/m2) (%)</t>
  </si>
  <si>
    <t xml:space="preserve">Men whose Body Mass Index (BMI) is below normal (BMI &lt;18.5 kg/m2) (%)</t>
  </si>
  <si>
    <t xml:space="preserve">Women who are overweight or obese (BMI &gt;=25.0 kg/m2) (%)</t>
  </si>
  <si>
    <t xml:space="preserve">Men who are overweight or obese (BMI &gt;=25.0 kg/m2) (%)</t>
  </si>
  <si>
    <t xml:space="preserve">Women - Blood sugar level high (141-160 mg/dl) (%)</t>
  </si>
  <si>
    <t xml:space="preserve">Women - Blood sugar level very high (&gt;160 mg/dl) (%)</t>
  </si>
  <si>
    <t xml:space="preserve">Women - Blood sugar level high or very high (&gt;140 mg/dl) or taking medicine to control blood sugar level (%)</t>
  </si>
  <si>
    <t xml:space="preserve">Men - Blood sugar level high (141-160 mg/dl) (%)</t>
  </si>
  <si>
    <t xml:space="preserve">Men - Blood sugar level very high (&gt;160 mg/dl) (%)</t>
  </si>
  <si>
    <t xml:space="preserve">Men - Blood sugar level high or very high (&gt;140 mg/dl) or taking medicine to control blood sugar level (%)</t>
  </si>
  <si>
    <t xml:space="preserve">Women - Mildly elevated blood pressure (Systolic 140-159 mm Hg and/or Diastolic 90-99 mm Hg) (%)</t>
  </si>
  <si>
    <t xml:space="preserve">Women - Moderately or severely elevated blood pressure (Systolic &gt;=160 mm Hg and/or Diastolic &gt;=100 mm Hg) (%)</t>
  </si>
  <si>
    <t xml:space="preserve">Women - Elevated blood pressure (Systolic &gt;=140 mm Hg and/or Diastolic &gt;=90 mm Hg) or taking medicine to control blood pressure (%)</t>
  </si>
  <si>
    <t xml:space="preserve">Men - Mildly elevated blood pressure (Systolic 140-159 mm Hg and/or Diastolic 90-99 mm Hg) (%)</t>
  </si>
  <si>
    <t xml:space="preserve">Men - Moderately or severely elevated blood pressure (Systolic &gt;=160 mm Hg and/or Diastolic &gt;=100 mm Hg) (%)</t>
  </si>
  <si>
    <t xml:space="preserve">Men - Elevated blood pressure (Systolic &gt;=140 mm Hg and/or Diastolic &gt;=90 mm Hg) or taking medicine to control blood pressure (%)</t>
  </si>
  <si>
    <t xml:space="preserve">Currently married women who usually participate in three household decisions (%)</t>
  </si>
  <si>
    <t xml:space="preserve">Women who worked in the last 12 months and were paid in cash (%)</t>
  </si>
  <si>
    <t xml:space="preserve">Women having a bank or savings account that they themselves use (%)</t>
  </si>
  <si>
    <t xml:space="preserve">Women having a mobile phone that they themselves use (%)</t>
  </si>
  <si>
    <t xml:space="preserve">Women age 15-24 years who use hygienic methods of protection during their menstrual period (%)</t>
  </si>
  <si>
    <t xml:space="preserve">Ever-married women age 18-49 years who have ever experienced spousal violence (%)</t>
  </si>
  <si>
    <t xml:space="preserve">Ever-married women age 18-49 years who have experienced physical violence during any pregnancy (%)</t>
  </si>
  <si>
    <t xml:space="preserve">Young women age 18-29 years who experienced sexual violence by age 18 (%)</t>
  </si>
  <si>
    <t xml:space="preserve">Women age 15 years and above who use any kind of tobacco (%)</t>
  </si>
  <si>
    <t xml:space="preserve">Men age 15 years and above who use any kind of tobacco (%)</t>
  </si>
  <si>
    <t xml:space="preserve">Women age 15 years and above who consume alcohol (%)</t>
  </si>
  <si>
    <t xml:space="preserve">Men age 15 years and above who consume alcohol (%)</t>
  </si>
  <si>
    <t xml:space="preserve">About this file</t>
  </si>
  <si>
    <t xml:space="preserve">Source</t>
  </si>
  <si>
    <t xml:space="preserve">OpenCity data portal, dataset 'NFHS 6 - 2023-24', Karnataka fact sheet CSV (nfhs6_karnataka.csv). Original source listed as mohfw.gov.in.</t>
  </si>
  <si>
    <t xml:space="preserve">Level</t>
  </si>
  <si>
    <t xml:space="preserve">State-level (Karnataka) only, not district-level.</t>
  </si>
  <si>
    <t xml:space="preserve">Columns</t>
  </si>
  <si>
    <t xml:space="preserve">NFHS-6 Urban, Rural and Total, and NFHS-5 Total, as given in the source file.</t>
  </si>
  <si>
    <t xml:space="preserve">Change column</t>
  </si>
  <si>
    <t xml:space="preserve">Formula: NFHS-6 Total minus NFHS-5 Total, in percentage points (or in units for non-percentage indicators such as fertility rate).</t>
  </si>
  <si>
    <t xml:space="preserve">Data issue</t>
  </si>
  <si>
    <t xml:space="preserve">Indicator 42 has '*' for urban and -27 for rural in the source. Highlighted in yellow; treat as missing.</t>
  </si>
  <si>
    <t xml:space="preserve">Caution</t>
  </si>
  <si>
    <t xml:space="preserve">Check the official NFHS site (rchiips.org/NFHS) before quoting figures, as NFHS-6 data may be provisional.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</si>
</sst>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0"/>
    <col collapsed="false" customWidth="true" hidden="false" outlineLevel="0" max="6" min="3" style="0" width="14"/>
    <col collapsed="false" customWidth="true" hidden="false" outlineLevel="0" max="7" min="7" style="0" width="2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1</v>
      </c>
      <c r="B2" s="3" t="s">
        <v>7</v>
      </c>
      <c r="C2" s="4" t="n">
        <v>6.8</v>
      </c>
      <c r="D2" s="4" t="n">
        <v>6.3</v>
      </c>
      <c r="E2" s="4" t="n">
        <v>6.5</v>
      </c>
      <c r="F2" s="4" t="n">
        <v>7</v>
      </c>
      <c r="G2" s="4" t="n">
        <f aca="false">IFERROR(E2-F2,"")</f>
        <v>-0.5</v>
      </c>
    </row>
    <row r="3" customFormat="false" ht="15" hidden="false" customHeight="false" outlineLevel="0" collapsed="false">
      <c r="A3" s="2" t="n">
        <v>2</v>
      </c>
      <c r="B3" s="3" t="s">
        <v>8</v>
      </c>
      <c r="C3" s="4" t="n">
        <v>21.9</v>
      </c>
      <c r="D3" s="4" t="n">
        <v>22</v>
      </c>
      <c r="E3" s="4" t="n">
        <v>22</v>
      </c>
      <c r="F3" s="4" t="n">
        <v>22.9</v>
      </c>
      <c r="G3" s="4" t="n">
        <f aca="false">IFERROR(E3-F3,"")</f>
        <v>-0.899999999999999</v>
      </c>
    </row>
    <row r="4" customFormat="false" ht="15" hidden="false" customHeight="false" outlineLevel="0" collapsed="false">
      <c r="A4" s="2" t="n">
        <v>3</v>
      </c>
      <c r="B4" s="3" t="s">
        <v>9</v>
      </c>
      <c r="C4" s="4" t="n">
        <v>13.1</v>
      </c>
      <c r="D4" s="4" t="n">
        <v>15.8</v>
      </c>
      <c r="E4" s="4" t="n">
        <v>14.6</v>
      </c>
      <c r="F4" s="4" t="n">
        <v>13.3</v>
      </c>
      <c r="G4" s="4" t="n">
        <f aca="false">IFERROR(E4-F4,"")</f>
        <v>1.3</v>
      </c>
    </row>
    <row r="5" customFormat="false" ht="15" hidden="false" customHeight="false" outlineLevel="0" collapsed="false">
      <c r="A5" s="2" t="n">
        <v>4</v>
      </c>
      <c r="B5" s="3" t="s">
        <v>10</v>
      </c>
      <c r="C5" s="4" t="n">
        <v>99.8</v>
      </c>
      <c r="D5" s="4" t="n">
        <v>99.6</v>
      </c>
      <c r="E5" s="4" t="n">
        <v>99.7</v>
      </c>
      <c r="F5" s="4" t="n">
        <v>99.1</v>
      </c>
      <c r="G5" s="4" t="n">
        <f aca="false">IFERROR(E5-F5,"")</f>
        <v>0.600000000000009</v>
      </c>
    </row>
    <row r="6" customFormat="false" ht="15" hidden="false" customHeight="false" outlineLevel="0" collapsed="false">
      <c r="A6" s="2" t="n">
        <v>5</v>
      </c>
      <c r="B6" s="3" t="s">
        <v>11</v>
      </c>
      <c r="C6" s="4" t="n">
        <v>98.9</v>
      </c>
      <c r="D6" s="4" t="n">
        <v>96.2</v>
      </c>
      <c r="E6" s="4" t="n">
        <v>97.3</v>
      </c>
      <c r="F6" s="4" t="n">
        <v>95.3</v>
      </c>
      <c r="G6" s="4" t="n">
        <f aca="false">IFERROR(E6-F6,"")</f>
        <v>2</v>
      </c>
    </row>
    <row r="7" customFormat="false" ht="15" hidden="false" customHeight="false" outlineLevel="0" collapsed="false">
      <c r="A7" s="2" t="n">
        <v>6</v>
      </c>
      <c r="B7" s="3" t="s">
        <v>12</v>
      </c>
      <c r="C7" s="4" t="n">
        <v>98.3</v>
      </c>
      <c r="D7" s="4" t="n">
        <v>94.7</v>
      </c>
      <c r="E7" s="4" t="n">
        <v>96.3</v>
      </c>
      <c r="F7" s="4" t="n">
        <v>92.8</v>
      </c>
      <c r="G7" s="4" t="n">
        <f aca="false">IFERROR(E7-F7,"")</f>
        <v>3.5</v>
      </c>
    </row>
    <row r="8" customFormat="false" ht="15" hidden="false" customHeight="false" outlineLevel="0" collapsed="false">
      <c r="A8" s="5" t="n">
        <v>7</v>
      </c>
      <c r="B8" s="6" t="s">
        <v>13</v>
      </c>
      <c r="C8" s="7" t="n">
        <v>57.1</v>
      </c>
      <c r="D8" s="7" t="n">
        <v>68.1</v>
      </c>
      <c r="E8" s="7" t="n">
        <v>63.3</v>
      </c>
      <c r="F8" s="7" t="n">
        <v>31.8</v>
      </c>
      <c r="G8" s="7" t="n">
        <f aca="false">IFERROR(E8-F8,"")</f>
        <v>31.5</v>
      </c>
    </row>
    <row r="9" customFormat="false" ht="15" hidden="false" customHeight="false" outlineLevel="0" collapsed="false">
      <c r="A9" s="2" t="n">
        <v>8</v>
      </c>
      <c r="B9" s="3" t="s">
        <v>14</v>
      </c>
      <c r="C9" s="4" t="n">
        <v>98</v>
      </c>
      <c r="D9" s="4" t="n">
        <v>99.1</v>
      </c>
      <c r="E9" s="4" t="n">
        <v>98.6</v>
      </c>
      <c r="F9" s="4" t="n">
        <v>94.5</v>
      </c>
      <c r="G9" s="4" t="n">
        <f aca="false">IFERROR(E9-F9,"")</f>
        <v>4.09999999999999</v>
      </c>
    </row>
    <row r="10" customFormat="false" ht="15" hidden="false" customHeight="false" outlineLevel="0" collapsed="false">
      <c r="A10" s="2" t="n">
        <v>9</v>
      </c>
      <c r="B10" s="3" t="s">
        <v>15</v>
      </c>
      <c r="C10" s="4" t="n">
        <v>86.4</v>
      </c>
      <c r="D10" s="4" t="n">
        <v>71.5</v>
      </c>
      <c r="E10" s="4" t="n">
        <v>77.8</v>
      </c>
      <c r="F10" s="4" t="n">
        <v>73</v>
      </c>
      <c r="G10" s="4" t="n">
        <f aca="false">IFERROR(E10-F10,"")</f>
        <v>4.8</v>
      </c>
    </row>
    <row r="11" customFormat="false" ht="23.85" hidden="false" customHeight="false" outlineLevel="0" collapsed="false">
      <c r="A11" s="2" t="n">
        <v>10</v>
      </c>
      <c r="B11" s="3" t="s">
        <v>16</v>
      </c>
      <c r="C11" s="4" t="n">
        <v>20.2</v>
      </c>
      <c r="D11" s="4" t="n">
        <v>36.9</v>
      </c>
      <c r="E11" s="4" t="n">
        <v>29.5</v>
      </c>
      <c r="F11" s="4" t="n">
        <v>16.2</v>
      </c>
      <c r="G11" s="4" t="n">
        <f aca="false">IFERROR(E11-F11,"")</f>
        <v>13.3</v>
      </c>
    </row>
    <row r="12" customFormat="false" ht="15" hidden="false" customHeight="false" outlineLevel="0" collapsed="false">
      <c r="A12" s="2" t="n">
        <v>11</v>
      </c>
      <c r="B12" s="3" t="s">
        <v>17</v>
      </c>
      <c r="C12" s="4" t="n">
        <v>51.7</v>
      </c>
      <c r="D12" s="4" t="n">
        <v>50</v>
      </c>
      <c r="E12" s="4" t="n">
        <v>50.7</v>
      </c>
      <c r="F12" s="4" t="n">
        <v>44.5</v>
      </c>
      <c r="G12" s="4" t="n">
        <f aca="false">IFERROR(E12-F12,"")</f>
        <v>6.2</v>
      </c>
    </row>
    <row r="13" customFormat="false" ht="15" hidden="false" customHeight="false" outlineLevel="0" collapsed="false">
      <c r="A13" s="2" t="n">
        <v>12</v>
      </c>
      <c r="B13" s="3" t="s">
        <v>18</v>
      </c>
      <c r="C13" s="4" t="n">
        <v>69.4</v>
      </c>
      <c r="D13" s="4" t="n">
        <v>48.3</v>
      </c>
      <c r="E13" s="4" t="n">
        <v>57.6</v>
      </c>
      <c r="F13" s="4" t="n">
        <v>50.2</v>
      </c>
      <c r="G13" s="4" t="n">
        <f aca="false">IFERROR(E13-F13,"")</f>
        <v>7.4</v>
      </c>
    </row>
    <row r="14" customFormat="false" ht="15" hidden="false" customHeight="false" outlineLevel="0" collapsed="false">
      <c r="A14" s="2" t="n">
        <v>13</v>
      </c>
      <c r="B14" s="3" t="s">
        <v>19</v>
      </c>
      <c r="C14" s="4" t="n">
        <v>69.8</v>
      </c>
      <c r="D14" s="4" t="n">
        <v>57.3</v>
      </c>
      <c r="E14" s="4" t="n">
        <v>63</v>
      </c>
      <c r="F14" s="4" t="n">
        <v>56.5</v>
      </c>
      <c r="G14" s="4" t="n">
        <f aca="false">IFERROR(E14-F14,"")</f>
        <v>6.5</v>
      </c>
    </row>
    <row r="15" customFormat="false" ht="15" hidden="false" customHeight="false" outlineLevel="0" collapsed="false">
      <c r="A15" s="2" t="n">
        <v>14</v>
      </c>
      <c r="B15" s="3" t="s">
        <v>20</v>
      </c>
      <c r="C15" s="4" t="n">
        <v>74.1</v>
      </c>
      <c r="D15" s="4" t="n">
        <v>45.1</v>
      </c>
      <c r="E15" s="4" t="n">
        <v>57.9</v>
      </c>
      <c r="F15" s="4" t="n">
        <v>35</v>
      </c>
      <c r="G15" s="4" t="n">
        <f aca="false">IFERROR(E15-F15,"")</f>
        <v>22.9</v>
      </c>
    </row>
    <row r="16" customFormat="false" ht="15" hidden="false" customHeight="false" outlineLevel="0" collapsed="false">
      <c r="A16" s="2" t="n">
        <v>15</v>
      </c>
      <c r="B16" s="3" t="s">
        <v>21</v>
      </c>
      <c r="C16" s="4" t="n">
        <v>90.2</v>
      </c>
      <c r="D16" s="4" t="n">
        <v>79.4</v>
      </c>
      <c r="E16" s="4" t="n">
        <v>84.3</v>
      </c>
      <c r="F16" s="4" t="n">
        <v>56.3</v>
      </c>
      <c r="G16" s="4" t="n">
        <f aca="false">IFERROR(E16-F16,"")</f>
        <v>28</v>
      </c>
    </row>
    <row r="17" customFormat="false" ht="15" hidden="false" customHeight="false" outlineLevel="0" collapsed="false">
      <c r="A17" s="2" t="n">
        <v>16</v>
      </c>
      <c r="B17" s="3" t="s">
        <v>22</v>
      </c>
      <c r="C17" s="4" t="n">
        <v>10</v>
      </c>
      <c r="D17" s="4" t="n">
        <v>19.1</v>
      </c>
      <c r="E17" s="4" t="n">
        <v>15.3</v>
      </c>
      <c r="F17" s="4" t="n">
        <v>21.3</v>
      </c>
      <c r="G17" s="4" t="n">
        <f aca="false">IFERROR(E17-F17,"")</f>
        <v>-6</v>
      </c>
    </row>
    <row r="18" customFormat="false" ht="15" hidden="false" customHeight="false" outlineLevel="0" collapsed="false">
      <c r="A18" s="2" t="n">
        <v>17</v>
      </c>
      <c r="B18" s="3" t="s">
        <v>23</v>
      </c>
      <c r="C18" s="4" t="n">
        <v>4.2</v>
      </c>
      <c r="D18" s="4" t="n">
        <v>4.6</v>
      </c>
      <c r="E18" s="4" t="n">
        <v>4.4</v>
      </c>
      <c r="F18" s="4" t="n">
        <v>6.1</v>
      </c>
      <c r="G18" s="4" t="n">
        <f aca="false">IFERROR(E18-F18,"")</f>
        <v>-1.7</v>
      </c>
    </row>
    <row r="19" customFormat="false" ht="15" hidden="false" customHeight="false" outlineLevel="0" collapsed="false">
      <c r="A19" s="2" t="n">
        <v>18</v>
      </c>
      <c r="B19" s="3" t="s">
        <v>24</v>
      </c>
      <c r="C19" s="4" t="n">
        <v>1.7</v>
      </c>
      <c r="D19" s="4" t="n">
        <v>1.8</v>
      </c>
      <c r="E19" s="4" t="n">
        <v>1.8</v>
      </c>
      <c r="F19" s="4" t="n">
        <v>1.7</v>
      </c>
      <c r="G19" s="4" t="n">
        <f aca="false">IFERROR(E19-F19,"")</f>
        <v>0.1</v>
      </c>
    </row>
    <row r="20" customFormat="false" ht="15" hidden="false" customHeight="false" outlineLevel="0" collapsed="false">
      <c r="A20" s="2" t="n">
        <v>19</v>
      </c>
      <c r="B20" s="3" t="s">
        <v>25</v>
      </c>
      <c r="C20" s="4" t="n">
        <v>2.2</v>
      </c>
      <c r="D20" s="4" t="n">
        <v>6.8</v>
      </c>
      <c r="E20" s="4" t="n">
        <v>4.9</v>
      </c>
      <c r="F20" s="4" t="n">
        <v>5.4</v>
      </c>
      <c r="G20" s="4" t="n">
        <f aca="false">IFERROR(E20-F20,"")</f>
        <v>-0.5</v>
      </c>
    </row>
    <row r="21" customFormat="false" ht="15" hidden="false" customHeight="false" outlineLevel="0" collapsed="false">
      <c r="A21" s="2" t="n">
        <v>20</v>
      </c>
      <c r="B21" s="3" t="s">
        <v>26</v>
      </c>
      <c r="C21" s="4" t="n">
        <v>60.3</v>
      </c>
      <c r="D21" s="4" t="n">
        <v>68.2</v>
      </c>
      <c r="E21" s="4" t="n">
        <v>64.8</v>
      </c>
      <c r="F21" s="4" t="n">
        <v>68.7</v>
      </c>
      <c r="G21" s="4" t="n">
        <f aca="false">IFERROR(E21-F21,"")</f>
        <v>-3.90000000000001</v>
      </c>
    </row>
    <row r="22" customFormat="false" ht="15" hidden="false" customHeight="false" outlineLevel="0" collapsed="false">
      <c r="A22" s="2" t="n">
        <v>21</v>
      </c>
      <c r="B22" s="3" t="s">
        <v>27</v>
      </c>
      <c r="C22" s="4" t="n">
        <v>57.6</v>
      </c>
      <c r="D22" s="4" t="n">
        <v>67.4</v>
      </c>
      <c r="E22" s="4" t="n">
        <v>63.2</v>
      </c>
      <c r="F22" s="4" t="n">
        <v>68.2</v>
      </c>
      <c r="G22" s="4" t="n">
        <f aca="false">IFERROR(E22-F22,"")</f>
        <v>-5</v>
      </c>
    </row>
    <row r="23" customFormat="false" ht="15" hidden="false" customHeight="false" outlineLevel="0" collapsed="false">
      <c r="A23" s="2" t="n">
        <v>22</v>
      </c>
      <c r="B23" s="3" t="s">
        <v>28</v>
      </c>
      <c r="C23" s="4" t="n">
        <v>2.7</v>
      </c>
      <c r="D23" s="4" t="n">
        <v>0.8</v>
      </c>
      <c r="E23" s="4" t="n">
        <v>1.6</v>
      </c>
      <c r="F23" s="4" t="n">
        <v>0.5</v>
      </c>
      <c r="G23" s="4" t="n">
        <f aca="false">IFERROR(E23-F23,"")</f>
        <v>1.1</v>
      </c>
    </row>
    <row r="24" customFormat="false" ht="15" hidden="false" customHeight="false" outlineLevel="0" collapsed="false">
      <c r="A24" s="2" t="n">
        <v>23</v>
      </c>
      <c r="B24" s="3" t="s">
        <v>29</v>
      </c>
      <c r="C24" s="4" t="n">
        <v>49.1</v>
      </c>
      <c r="D24" s="4" t="n">
        <v>62.8</v>
      </c>
      <c r="E24" s="4" t="n">
        <v>56.9</v>
      </c>
      <c r="F24" s="4" t="n">
        <v>57.4</v>
      </c>
      <c r="G24" s="4" t="n">
        <f aca="false">IFERROR(E24-F24,"")</f>
        <v>-0.5</v>
      </c>
    </row>
    <row r="25" customFormat="false" ht="15" hidden="false" customHeight="false" outlineLevel="0" collapsed="false">
      <c r="A25" s="2" t="n">
        <v>24</v>
      </c>
      <c r="B25" s="3" t="s">
        <v>30</v>
      </c>
      <c r="C25" s="4" t="n">
        <v>0</v>
      </c>
      <c r="D25" s="4" t="n">
        <v>0.1</v>
      </c>
      <c r="E25" s="4" t="n">
        <v>0</v>
      </c>
      <c r="F25" s="4" t="n">
        <v>0</v>
      </c>
      <c r="G25" s="4" t="n">
        <f aca="false">IFERROR(E25-F25,"")</f>
        <v>0</v>
      </c>
    </row>
    <row r="26" customFormat="false" ht="15" hidden="false" customHeight="false" outlineLevel="0" collapsed="false">
      <c r="A26" s="2" t="n">
        <v>25</v>
      </c>
      <c r="B26" s="3" t="s">
        <v>31</v>
      </c>
      <c r="C26" s="4" t="n">
        <v>10.6</v>
      </c>
      <c r="D26" s="4" t="n">
        <v>7.4</v>
      </c>
      <c r="E26" s="4" t="n">
        <v>8.8</v>
      </c>
      <c r="F26" s="4" t="n">
        <v>6.4</v>
      </c>
      <c r="G26" s="4" t="n">
        <f aca="false">IFERROR(E26-F26,"")</f>
        <v>2.4</v>
      </c>
    </row>
    <row r="27" customFormat="false" ht="15" hidden="false" customHeight="false" outlineLevel="0" collapsed="false">
      <c r="A27" s="2" t="n">
        <v>26</v>
      </c>
      <c r="B27" s="3" t="s">
        <v>32</v>
      </c>
      <c r="C27" s="4" t="n">
        <v>5.8</v>
      </c>
      <c r="D27" s="4" t="n">
        <v>4.9</v>
      </c>
      <c r="E27" s="4" t="n">
        <v>5.3</v>
      </c>
      <c r="F27" s="4" t="n">
        <v>3.7</v>
      </c>
      <c r="G27" s="4" t="n">
        <f aca="false">IFERROR(E27-F27,"")</f>
        <v>1.6</v>
      </c>
    </row>
    <row r="28" customFormat="false" ht="15" hidden="false" customHeight="false" outlineLevel="0" collapsed="false">
      <c r="A28" s="2" t="n">
        <v>27</v>
      </c>
      <c r="B28" s="3" t="s">
        <v>33</v>
      </c>
      <c r="C28" s="4" t="n">
        <v>4.8</v>
      </c>
      <c r="D28" s="4" t="n">
        <v>2.5</v>
      </c>
      <c r="E28" s="4" t="n">
        <v>3.5</v>
      </c>
      <c r="F28" s="4" t="n">
        <v>2.7</v>
      </c>
      <c r="G28" s="4" t="n">
        <f aca="false">IFERROR(E28-F28,"")</f>
        <v>0.8</v>
      </c>
    </row>
    <row r="29" customFormat="false" ht="15" hidden="false" customHeight="false" outlineLevel="0" collapsed="false">
      <c r="A29" s="2" t="n">
        <v>28</v>
      </c>
      <c r="B29" s="3" t="s">
        <v>34</v>
      </c>
      <c r="C29" s="4" t="n">
        <v>88.3</v>
      </c>
      <c r="D29" s="4" t="n">
        <v>77.3</v>
      </c>
      <c r="E29" s="4" t="n">
        <v>82.4</v>
      </c>
      <c r="F29" s="4" t="n">
        <v>71</v>
      </c>
      <c r="G29" s="4" t="n">
        <f aca="false">IFERROR(E29-F29,"")</f>
        <v>11.4</v>
      </c>
    </row>
    <row r="30" customFormat="false" ht="15" hidden="false" customHeight="false" outlineLevel="0" collapsed="false">
      <c r="A30" s="2" t="n">
        <v>29</v>
      </c>
      <c r="B30" s="3" t="s">
        <v>35</v>
      </c>
      <c r="C30" s="4" t="n">
        <v>94.9</v>
      </c>
      <c r="D30" s="4" t="n">
        <v>97.5</v>
      </c>
      <c r="E30" s="4" t="n">
        <v>96.3</v>
      </c>
      <c r="F30" s="4" t="n">
        <v>98.3</v>
      </c>
      <c r="G30" s="4" t="n">
        <f aca="false">IFERROR(E30-F30,"")</f>
        <v>-2</v>
      </c>
    </row>
    <row r="31" customFormat="false" ht="15" hidden="false" customHeight="false" outlineLevel="0" collapsed="false">
      <c r="A31" s="2" t="n">
        <v>30</v>
      </c>
      <c r="B31" s="3" t="s">
        <v>36</v>
      </c>
      <c r="C31" s="4" t="n">
        <v>87.6</v>
      </c>
      <c r="D31" s="4" t="n">
        <v>81.9</v>
      </c>
      <c r="E31" s="4" t="n">
        <v>84.5</v>
      </c>
      <c r="F31" s="4" t="n">
        <v>70.9</v>
      </c>
      <c r="G31" s="4" t="n">
        <f aca="false">IFERROR(E31-F31,"")</f>
        <v>13.6</v>
      </c>
    </row>
    <row r="32" customFormat="false" ht="15" hidden="false" customHeight="false" outlineLevel="0" collapsed="false">
      <c r="A32" s="2" t="n">
        <v>31</v>
      </c>
      <c r="B32" s="3" t="s">
        <v>37</v>
      </c>
      <c r="C32" s="4" t="n">
        <v>96.3</v>
      </c>
      <c r="D32" s="4" t="n">
        <v>95.6</v>
      </c>
      <c r="E32" s="4" t="n">
        <v>95.9</v>
      </c>
      <c r="F32" s="4" t="n">
        <v>93.6</v>
      </c>
      <c r="G32" s="4" t="n">
        <f aca="false">IFERROR(E32-F32,"")</f>
        <v>2.30000000000001</v>
      </c>
    </row>
    <row r="33" customFormat="false" ht="15" hidden="false" customHeight="false" outlineLevel="0" collapsed="false">
      <c r="A33" s="2" t="n">
        <v>32</v>
      </c>
      <c r="B33" s="3" t="s">
        <v>38</v>
      </c>
      <c r="C33" s="4" t="n">
        <v>84</v>
      </c>
      <c r="D33" s="4" t="n">
        <v>74.5</v>
      </c>
      <c r="E33" s="4" t="n">
        <v>78.9</v>
      </c>
      <c r="F33" s="4" t="n">
        <v>44.7</v>
      </c>
      <c r="G33" s="4" t="n">
        <f aca="false">IFERROR(E33-F33,"")</f>
        <v>34.2</v>
      </c>
    </row>
    <row r="34" customFormat="false" ht="15" hidden="false" customHeight="false" outlineLevel="0" collapsed="false">
      <c r="A34" s="2" t="n">
        <v>33</v>
      </c>
      <c r="B34" s="3" t="s">
        <v>39</v>
      </c>
      <c r="C34" s="4" t="n">
        <v>73.4</v>
      </c>
      <c r="D34" s="4" t="n">
        <v>60.4</v>
      </c>
      <c r="E34" s="4" t="n">
        <v>66.4</v>
      </c>
      <c r="F34" s="4" t="n">
        <v>26.7</v>
      </c>
      <c r="G34" s="4" t="n">
        <f aca="false">IFERROR(E34-F34,"")</f>
        <v>39.7</v>
      </c>
    </row>
    <row r="35" customFormat="false" ht="23.85" hidden="false" customHeight="false" outlineLevel="0" collapsed="false">
      <c r="A35" s="2" t="n">
        <v>34</v>
      </c>
      <c r="B35" s="3" t="s">
        <v>40</v>
      </c>
      <c r="C35" s="4" t="n">
        <v>95.5</v>
      </c>
      <c r="D35" s="4" t="n">
        <v>99.4</v>
      </c>
      <c r="E35" s="4" t="n">
        <v>97.6</v>
      </c>
      <c r="F35" s="4" t="n">
        <v>97.6</v>
      </c>
      <c r="G35" s="4" t="n">
        <f aca="false">IFERROR(E35-F35,"")</f>
        <v>0</v>
      </c>
    </row>
    <row r="36" customFormat="false" ht="15" hidden="false" customHeight="false" outlineLevel="0" collapsed="false">
      <c r="A36" s="2" t="n">
        <v>35</v>
      </c>
      <c r="B36" s="3" t="s">
        <v>41</v>
      </c>
      <c r="C36" s="4" t="n">
        <v>99.1</v>
      </c>
      <c r="D36" s="4" t="n">
        <v>98.3</v>
      </c>
      <c r="E36" s="4" t="n">
        <v>98.7</v>
      </c>
      <c r="F36" s="4" t="n">
        <v>97</v>
      </c>
      <c r="G36" s="4" t="n">
        <f aca="false">IFERROR(E36-F36,"")</f>
        <v>1.7</v>
      </c>
    </row>
    <row r="37" customFormat="false" ht="15" hidden="false" customHeight="false" outlineLevel="0" collapsed="false">
      <c r="A37" s="2" t="n">
        <v>36</v>
      </c>
      <c r="B37" s="3" t="s">
        <v>42</v>
      </c>
      <c r="C37" s="4" t="n">
        <v>45</v>
      </c>
      <c r="D37" s="4" t="n">
        <v>68.4</v>
      </c>
      <c r="E37" s="4" t="n">
        <v>58.1</v>
      </c>
      <c r="F37" s="4" t="n">
        <v>64.8</v>
      </c>
      <c r="G37" s="4" t="n">
        <f aca="false">IFERROR(E37-F37,"")</f>
        <v>-6.7</v>
      </c>
    </row>
    <row r="38" customFormat="false" ht="15" hidden="false" customHeight="false" outlineLevel="0" collapsed="false">
      <c r="A38" s="2" t="n">
        <v>37</v>
      </c>
      <c r="B38" s="3" t="s">
        <v>43</v>
      </c>
      <c r="C38" s="4" t="n">
        <v>96.7</v>
      </c>
      <c r="D38" s="4" t="n">
        <v>96.6</v>
      </c>
      <c r="E38" s="4" t="n">
        <v>96.6</v>
      </c>
      <c r="F38" s="4" t="n">
        <v>93.8</v>
      </c>
      <c r="G38" s="4" t="n">
        <f aca="false">IFERROR(E38-F38,"")</f>
        <v>2.8</v>
      </c>
    </row>
    <row r="39" customFormat="false" ht="15" hidden="false" customHeight="false" outlineLevel="0" collapsed="false">
      <c r="A39" s="2" t="n">
        <v>38</v>
      </c>
      <c r="B39" s="3" t="s">
        <v>44</v>
      </c>
      <c r="C39" s="4" t="n">
        <v>52.6</v>
      </c>
      <c r="D39" s="4" t="n">
        <v>40.2</v>
      </c>
      <c r="E39" s="4" t="n">
        <v>45.7</v>
      </c>
      <c r="F39" s="4" t="n">
        <v>31.5</v>
      </c>
      <c r="G39" s="4" t="n">
        <f aca="false">IFERROR(E39-F39,"")</f>
        <v>14.2</v>
      </c>
    </row>
    <row r="40" customFormat="false" ht="15" hidden="false" customHeight="false" outlineLevel="0" collapsed="false">
      <c r="A40" s="2" t="n">
        <v>39</v>
      </c>
      <c r="B40" s="3" t="s">
        <v>45</v>
      </c>
      <c r="C40" s="4" t="n">
        <v>62.9</v>
      </c>
      <c r="D40" s="4" t="n">
        <v>64.9</v>
      </c>
      <c r="E40" s="4" t="n">
        <v>63.8</v>
      </c>
      <c r="F40" s="4" t="n">
        <v>52.5</v>
      </c>
      <c r="G40" s="4" t="n">
        <f aca="false">IFERROR(E40-F40,"")</f>
        <v>11.3</v>
      </c>
    </row>
    <row r="41" customFormat="false" ht="15" hidden="false" customHeight="false" outlineLevel="0" collapsed="false">
      <c r="A41" s="2" t="n">
        <v>40</v>
      </c>
      <c r="B41" s="3" t="s">
        <v>46</v>
      </c>
      <c r="C41" s="4" t="n">
        <v>41.1</v>
      </c>
      <c r="D41" s="4" t="n">
        <v>30.4</v>
      </c>
      <c r="E41" s="4" t="n">
        <v>34</v>
      </c>
      <c r="F41" s="4" t="n">
        <v>22.6</v>
      </c>
      <c r="G41" s="4" t="n">
        <f aca="false">IFERROR(E41-F41,"")</f>
        <v>11.4</v>
      </c>
    </row>
    <row r="42" customFormat="false" ht="23.85" hidden="false" customHeight="false" outlineLevel="0" collapsed="false">
      <c r="A42" s="2" t="n">
        <v>41</v>
      </c>
      <c r="B42" s="3" t="s">
        <v>47</v>
      </c>
      <c r="C42" s="4" t="n">
        <v>94.1</v>
      </c>
      <c r="D42" s="4" t="n">
        <v>93.2</v>
      </c>
      <c r="E42" s="4" t="n">
        <v>93.6</v>
      </c>
      <c r="F42" s="4" t="n">
        <v>87.4</v>
      </c>
      <c r="G42" s="4" t="n">
        <f aca="false">IFERROR(E42-F42,"")</f>
        <v>6.19999999999999</v>
      </c>
    </row>
    <row r="43" customFormat="false" ht="15" hidden="false" customHeight="false" outlineLevel="0" collapsed="false">
      <c r="A43" s="8" t="n">
        <v>42</v>
      </c>
      <c r="B43" s="9" t="s">
        <v>48</v>
      </c>
      <c r="C43" s="10" t="s">
        <v>49</v>
      </c>
      <c r="D43" s="10" t="n">
        <v>-27</v>
      </c>
      <c r="E43" s="10" t="n">
        <v>23.4</v>
      </c>
      <c r="F43" s="10" t="n">
        <v>12.3</v>
      </c>
      <c r="G43" s="10" t="n">
        <f aca="false">IFERROR(E43-F43,"")</f>
        <v>11.1</v>
      </c>
    </row>
    <row r="44" customFormat="false" ht="23.85" hidden="false" customHeight="false" outlineLevel="0" collapsed="false">
      <c r="A44" s="2" t="n">
        <v>43</v>
      </c>
      <c r="B44" s="3" t="s">
        <v>50</v>
      </c>
      <c r="C44" s="4" t="n">
        <v>92.5</v>
      </c>
      <c r="D44" s="4" t="n">
        <v>93.8</v>
      </c>
      <c r="E44" s="4" t="n">
        <v>93.2</v>
      </c>
      <c r="F44" s="4" t="n">
        <v>85.5</v>
      </c>
      <c r="G44" s="4" t="n">
        <f aca="false">IFERROR(E44-F44,"")</f>
        <v>7.7</v>
      </c>
    </row>
    <row r="45" customFormat="false" ht="23.85" hidden="false" customHeight="false" outlineLevel="0" collapsed="false">
      <c r="A45" s="2" t="n">
        <v>44</v>
      </c>
      <c r="B45" s="3" t="s">
        <v>51</v>
      </c>
      <c r="C45" s="4" t="n">
        <v>90</v>
      </c>
      <c r="D45" s="4" t="n">
        <v>90.5</v>
      </c>
      <c r="E45" s="4" t="n">
        <v>90.2</v>
      </c>
      <c r="F45" s="4" t="n">
        <v>84.3</v>
      </c>
      <c r="G45" s="4" t="n">
        <f aca="false">IFERROR(E45-F45,"")</f>
        <v>5.90000000000001</v>
      </c>
    </row>
    <row r="46" customFormat="false" ht="15" hidden="false" customHeight="false" outlineLevel="0" collapsed="false">
      <c r="A46" s="2" t="n">
        <v>45</v>
      </c>
      <c r="B46" s="3" t="s">
        <v>52</v>
      </c>
      <c r="C46" s="4" t="n">
        <v>89.9</v>
      </c>
      <c r="D46" s="4" t="n">
        <v>93.1</v>
      </c>
      <c r="E46" s="4" t="n">
        <v>91.8</v>
      </c>
      <c r="F46" s="4" t="n">
        <v>88.3</v>
      </c>
      <c r="G46" s="4" t="n">
        <f aca="false">IFERROR(E46-F46,"")</f>
        <v>3.5</v>
      </c>
    </row>
    <row r="47" customFormat="false" ht="15" hidden="false" customHeight="false" outlineLevel="0" collapsed="false">
      <c r="A47" s="2" t="n">
        <v>46</v>
      </c>
      <c r="B47" s="3" t="s">
        <v>53</v>
      </c>
      <c r="C47" s="4" t="n">
        <v>96.9</v>
      </c>
      <c r="D47" s="4" t="n">
        <v>96.8</v>
      </c>
      <c r="E47" s="4" t="n">
        <v>96.8</v>
      </c>
      <c r="F47" s="4" t="n">
        <v>97.5</v>
      </c>
      <c r="G47" s="4" t="n">
        <f aca="false">IFERROR(E47-F47,"")</f>
        <v>-0.700000000000003</v>
      </c>
    </row>
    <row r="48" customFormat="false" ht="15" hidden="false" customHeight="false" outlineLevel="0" collapsed="false">
      <c r="A48" s="2" t="n">
        <v>47</v>
      </c>
      <c r="B48" s="3" t="s">
        <v>54</v>
      </c>
      <c r="C48" s="4" t="n">
        <v>96.5</v>
      </c>
      <c r="D48" s="4" t="n">
        <v>96.4</v>
      </c>
      <c r="E48" s="4" t="n">
        <v>96.4</v>
      </c>
      <c r="F48" s="4" t="n">
        <v>97.1</v>
      </c>
      <c r="G48" s="4" t="n">
        <f aca="false">IFERROR(E48-F48,"")</f>
        <v>-0.699999999999989</v>
      </c>
    </row>
    <row r="49" customFormat="false" ht="15" hidden="false" customHeight="false" outlineLevel="0" collapsed="false">
      <c r="A49" s="2" t="n">
        <v>48</v>
      </c>
      <c r="B49" s="3" t="s">
        <v>55</v>
      </c>
      <c r="C49" s="4" t="n">
        <v>91</v>
      </c>
      <c r="D49" s="4" t="n">
        <v>91.6</v>
      </c>
      <c r="E49" s="4" t="n">
        <v>91.3</v>
      </c>
      <c r="F49" s="4" t="n">
        <v>87.5</v>
      </c>
      <c r="G49" s="4" t="n">
        <f aca="false">IFERROR(E49-F49,"")</f>
        <v>3.8</v>
      </c>
    </row>
    <row r="50" customFormat="false" ht="15" hidden="false" customHeight="false" outlineLevel="0" collapsed="false">
      <c r="A50" s="2" t="n">
        <v>49</v>
      </c>
      <c r="B50" s="3" t="s">
        <v>56</v>
      </c>
      <c r="C50" s="4" t="n">
        <v>92.5</v>
      </c>
      <c r="D50" s="4" t="n">
        <v>93.8</v>
      </c>
      <c r="E50" s="4" t="n">
        <v>93.3</v>
      </c>
      <c r="F50" s="4" t="n">
        <v>92.3</v>
      </c>
      <c r="G50" s="4" t="n">
        <f aca="false">IFERROR(E50-F50,"")</f>
        <v>1</v>
      </c>
    </row>
    <row r="51" customFormat="false" ht="23.85" hidden="false" customHeight="false" outlineLevel="0" collapsed="false">
      <c r="A51" s="2" t="n">
        <v>50</v>
      </c>
      <c r="B51" s="3" t="s">
        <v>57</v>
      </c>
      <c r="C51" s="4" t="n">
        <v>95.9</v>
      </c>
      <c r="D51" s="4" t="n">
        <v>95.4</v>
      </c>
      <c r="E51" s="4" t="n">
        <v>95.6</v>
      </c>
      <c r="F51" s="4" t="n">
        <v>91.4</v>
      </c>
      <c r="G51" s="4" t="n">
        <f aca="false">IFERROR(E51-F51,"")</f>
        <v>4.19999999999999</v>
      </c>
    </row>
    <row r="52" customFormat="false" ht="23.85" hidden="false" customHeight="false" outlineLevel="0" collapsed="false">
      <c r="A52" s="2" t="n">
        <v>51</v>
      </c>
      <c r="B52" s="3" t="s">
        <v>58</v>
      </c>
      <c r="C52" s="4" t="n">
        <v>78.6</v>
      </c>
      <c r="D52" s="4" t="n">
        <v>80.2</v>
      </c>
      <c r="E52" s="4" t="n">
        <v>79.4</v>
      </c>
      <c r="F52" s="4" t="n">
        <v>62.4</v>
      </c>
      <c r="G52" s="4" t="n">
        <f aca="false">IFERROR(E52-F52,"")</f>
        <v>17</v>
      </c>
    </row>
    <row r="53" customFormat="false" ht="15" hidden="false" customHeight="false" outlineLevel="0" collapsed="false">
      <c r="A53" s="2" t="n">
        <v>52</v>
      </c>
      <c r="B53" s="3" t="s">
        <v>59</v>
      </c>
      <c r="C53" s="4" t="n">
        <v>90.8</v>
      </c>
      <c r="D53" s="4" t="n">
        <v>93.7</v>
      </c>
      <c r="E53" s="4" t="n">
        <v>92.5</v>
      </c>
      <c r="F53" s="4" t="n">
        <v>84.5</v>
      </c>
      <c r="G53" s="4" t="n">
        <f aca="false">IFERROR(E53-F53,"")</f>
        <v>8</v>
      </c>
    </row>
    <row r="54" customFormat="false" ht="15" hidden="false" customHeight="false" outlineLevel="0" collapsed="false">
      <c r="A54" s="2" t="n">
        <v>53</v>
      </c>
      <c r="B54" s="3" t="s">
        <v>60</v>
      </c>
      <c r="C54" s="4" t="n">
        <v>87.5</v>
      </c>
      <c r="D54" s="4" t="n">
        <v>82.3</v>
      </c>
      <c r="E54" s="4" t="n">
        <v>84.4</v>
      </c>
      <c r="F54" s="4" t="n">
        <v>5.9</v>
      </c>
      <c r="G54" s="4" t="n">
        <f aca="false">IFERROR(E54-F54,"")</f>
        <v>78.5</v>
      </c>
    </row>
    <row r="55" customFormat="false" ht="15" hidden="false" customHeight="false" outlineLevel="0" collapsed="false">
      <c r="A55" s="2" t="n">
        <v>54</v>
      </c>
      <c r="B55" s="3" t="s">
        <v>61</v>
      </c>
      <c r="C55" s="4" t="n">
        <v>88.5</v>
      </c>
      <c r="D55" s="4" t="n">
        <v>90.7</v>
      </c>
      <c r="E55" s="4" t="n">
        <v>89.7</v>
      </c>
      <c r="F55" s="4" t="n">
        <v>86.2</v>
      </c>
      <c r="G55" s="4" t="n">
        <f aca="false">IFERROR(E55-F55,"")</f>
        <v>3.5</v>
      </c>
    </row>
    <row r="56" customFormat="false" ht="15" hidden="false" customHeight="false" outlineLevel="0" collapsed="false">
      <c r="A56" s="2" t="n">
        <v>55</v>
      </c>
      <c r="B56" s="3" t="s">
        <v>62</v>
      </c>
      <c r="C56" s="4" t="n">
        <v>82.4</v>
      </c>
      <c r="D56" s="4" t="n">
        <v>96.7</v>
      </c>
      <c r="E56" s="4" t="n">
        <v>90.9</v>
      </c>
      <c r="F56" s="4" t="n">
        <v>91.7</v>
      </c>
      <c r="G56" s="4" t="n">
        <f aca="false">IFERROR(E56-F56,"")</f>
        <v>-0.799999999999997</v>
      </c>
    </row>
    <row r="57" customFormat="false" ht="15" hidden="false" customHeight="false" outlineLevel="0" collapsed="false">
      <c r="A57" s="2" t="n">
        <v>56</v>
      </c>
      <c r="B57" s="3" t="s">
        <v>63</v>
      </c>
      <c r="C57" s="4" t="n">
        <v>16.2</v>
      </c>
      <c r="D57" s="4" t="n">
        <v>3.3</v>
      </c>
      <c r="E57" s="4" t="n">
        <v>8.6</v>
      </c>
      <c r="F57" s="4" t="n">
        <v>7.9</v>
      </c>
      <c r="G57" s="4" t="n">
        <f aca="false">IFERROR(E57-F57,"")</f>
        <v>0.699999999999999</v>
      </c>
    </row>
    <row r="58" customFormat="false" ht="15" hidden="false" customHeight="false" outlineLevel="0" collapsed="false">
      <c r="A58" s="2" t="n">
        <v>57</v>
      </c>
      <c r="B58" s="3" t="s">
        <v>64</v>
      </c>
      <c r="C58" s="4" t="n">
        <v>5.8</v>
      </c>
      <c r="D58" s="4" t="n">
        <v>6.5</v>
      </c>
      <c r="E58" s="4" t="n">
        <v>6.2</v>
      </c>
      <c r="F58" s="4" t="n">
        <v>5.3</v>
      </c>
      <c r="G58" s="4" t="n">
        <f aca="false">IFERROR(E58-F58,"")</f>
        <v>0.9</v>
      </c>
    </row>
    <row r="59" customFormat="false" ht="15" hidden="false" customHeight="false" outlineLevel="0" collapsed="false">
      <c r="A59" s="2" t="n">
        <v>58</v>
      </c>
      <c r="B59" s="3" t="s">
        <v>65</v>
      </c>
      <c r="C59" s="4" t="n">
        <v>1.4</v>
      </c>
      <c r="D59" s="4" t="n">
        <v>1</v>
      </c>
      <c r="E59" s="4" t="n">
        <v>1.2</v>
      </c>
      <c r="F59" s="4" t="n">
        <v>0.7</v>
      </c>
      <c r="G59" s="4" t="n">
        <f aca="false">IFERROR(E59-F59,"")</f>
        <v>0.5</v>
      </c>
    </row>
    <row r="60" customFormat="false" ht="23.85" hidden="false" customHeight="false" outlineLevel="0" collapsed="false">
      <c r="A60" s="2" t="n">
        <v>59</v>
      </c>
      <c r="B60" s="3" t="s">
        <v>66</v>
      </c>
      <c r="C60" s="4" t="n">
        <v>0.6</v>
      </c>
      <c r="D60" s="4" t="n">
        <v>0.9</v>
      </c>
      <c r="E60" s="4" t="n">
        <v>0.8</v>
      </c>
      <c r="F60" s="4" t="n">
        <v>1.5</v>
      </c>
      <c r="G60" s="4" t="n">
        <f aca="false">IFERROR(E60-F60,"")</f>
        <v>-0.7</v>
      </c>
    </row>
    <row r="61" customFormat="false" ht="23.85" hidden="false" customHeight="false" outlineLevel="0" collapsed="false">
      <c r="A61" s="2" t="n">
        <v>60</v>
      </c>
      <c r="B61" s="3" t="s">
        <v>67</v>
      </c>
      <c r="C61" s="4" t="n">
        <v>82.8</v>
      </c>
      <c r="D61" s="4" t="n">
        <v>78.8</v>
      </c>
      <c r="E61" s="4" t="n">
        <v>80.3</v>
      </c>
      <c r="F61" s="4" t="n">
        <v>65.7</v>
      </c>
      <c r="G61" s="4" t="n">
        <f aca="false">IFERROR(E61-F61,"")</f>
        <v>14.6</v>
      </c>
    </row>
    <row r="62" customFormat="false" ht="15" hidden="false" customHeight="false" outlineLevel="0" collapsed="false">
      <c r="A62" s="2" t="n">
        <v>61</v>
      </c>
      <c r="B62" s="3" t="s">
        <v>68</v>
      </c>
      <c r="C62" s="4" t="n">
        <v>52.7</v>
      </c>
      <c r="D62" s="4" t="n">
        <v>44.7</v>
      </c>
      <c r="E62" s="4" t="n">
        <v>48.3</v>
      </c>
      <c r="F62" s="4" t="n">
        <v>49.1</v>
      </c>
      <c r="G62" s="4" t="n">
        <f aca="false">IFERROR(E62-F62,"")</f>
        <v>-0.800000000000004</v>
      </c>
    </row>
    <row r="63" customFormat="false" ht="15" hidden="false" customHeight="false" outlineLevel="0" collapsed="false">
      <c r="A63" s="2" t="n">
        <v>62</v>
      </c>
      <c r="B63" s="3" t="s">
        <v>69</v>
      </c>
      <c r="C63" s="4" t="n">
        <v>58.6</v>
      </c>
      <c r="D63" s="4" t="n">
        <v>63.7</v>
      </c>
      <c r="E63" s="4" t="n">
        <v>61.6</v>
      </c>
      <c r="F63" s="4" t="n">
        <v>61</v>
      </c>
      <c r="G63" s="4" t="n">
        <f aca="false">IFERROR(E63-F63,"")</f>
        <v>0.600000000000001</v>
      </c>
    </row>
    <row r="64" customFormat="false" ht="15" hidden="false" customHeight="false" outlineLevel="0" collapsed="false">
      <c r="A64" s="2" t="n">
        <v>63</v>
      </c>
      <c r="B64" s="3" t="s">
        <v>70</v>
      </c>
      <c r="C64" s="4" t="n">
        <v>92.8</v>
      </c>
      <c r="D64" s="4" t="n">
        <v>94.5</v>
      </c>
      <c r="E64" s="4" t="n">
        <v>93.8</v>
      </c>
      <c r="F64" s="4" t="n">
        <v>92.4</v>
      </c>
      <c r="G64" s="4" t="n">
        <f aca="false">IFERROR(E64-F64,"")</f>
        <v>1.39999999999999</v>
      </c>
    </row>
    <row r="65" customFormat="false" ht="23.85" hidden="false" customHeight="false" outlineLevel="0" collapsed="false">
      <c r="A65" s="2" t="n">
        <v>64</v>
      </c>
      <c r="B65" s="3" t="s">
        <v>71</v>
      </c>
      <c r="C65" s="4" t="n">
        <v>79.9</v>
      </c>
      <c r="D65" s="4" t="n">
        <v>84</v>
      </c>
      <c r="E65" s="4" t="n">
        <v>82.3</v>
      </c>
      <c r="F65" s="4" t="n">
        <v>75.2</v>
      </c>
      <c r="G65" s="4" t="n">
        <f aca="false">IFERROR(E65-F65,"")</f>
        <v>7.09999999999999</v>
      </c>
    </row>
    <row r="66" customFormat="false" ht="15" hidden="false" customHeight="false" outlineLevel="0" collapsed="false">
      <c r="A66" s="2" t="n">
        <v>65</v>
      </c>
      <c r="B66" s="3" t="s">
        <v>72</v>
      </c>
      <c r="C66" s="4" t="n">
        <v>60.7</v>
      </c>
      <c r="D66" s="4" t="n">
        <v>56.2</v>
      </c>
      <c r="E66" s="4" t="n">
        <v>57.9</v>
      </c>
      <c r="F66" s="4" t="n">
        <v>45.8</v>
      </c>
      <c r="G66" s="4" t="n">
        <f aca="false">IFERROR(E66-F66,"")</f>
        <v>12.1</v>
      </c>
    </row>
    <row r="67" customFormat="false" ht="15" hidden="false" customHeight="false" outlineLevel="0" collapsed="false">
      <c r="A67" s="2" t="n">
        <v>66</v>
      </c>
      <c r="B67" s="3" t="s">
        <v>73</v>
      </c>
      <c r="C67" s="4" t="n">
        <v>14.8</v>
      </c>
      <c r="D67" s="4" t="n">
        <v>13.8</v>
      </c>
      <c r="E67" s="4" t="n">
        <v>14.2</v>
      </c>
      <c r="F67" s="4" t="n">
        <v>10.6</v>
      </c>
      <c r="G67" s="4" t="n">
        <f aca="false">IFERROR(E67-F67,"")</f>
        <v>3.6</v>
      </c>
    </row>
    <row r="68" customFormat="false" ht="15" hidden="false" customHeight="false" outlineLevel="0" collapsed="false">
      <c r="A68" s="2" t="n">
        <v>67</v>
      </c>
      <c r="B68" s="3" t="s">
        <v>74</v>
      </c>
      <c r="C68" s="4" t="n">
        <v>31.2</v>
      </c>
      <c r="D68" s="4" t="n">
        <v>31.2</v>
      </c>
      <c r="E68" s="4" t="n">
        <v>31.2</v>
      </c>
      <c r="F68" s="4" t="n">
        <v>18.9</v>
      </c>
      <c r="G68" s="4" t="n">
        <f aca="false">IFERROR(E68-F68,"")</f>
        <v>12.3</v>
      </c>
    </row>
    <row r="69" customFormat="false" ht="15" hidden="false" customHeight="false" outlineLevel="0" collapsed="false">
      <c r="A69" s="2" t="n">
        <v>68</v>
      </c>
      <c r="B69" s="3" t="s">
        <v>75</v>
      </c>
      <c r="C69" s="4" t="n">
        <v>19.7</v>
      </c>
      <c r="D69" s="4" t="n">
        <v>17.3</v>
      </c>
      <c r="E69" s="4" t="n">
        <v>18.3</v>
      </c>
      <c r="F69" s="4" t="n">
        <v>12.4</v>
      </c>
      <c r="G69" s="4" t="n">
        <f aca="false">IFERROR(E69-F69,"")</f>
        <v>5.9</v>
      </c>
    </row>
    <row r="70" customFormat="false" ht="15" hidden="false" customHeight="false" outlineLevel="0" collapsed="false">
      <c r="A70" s="2" t="n">
        <v>69</v>
      </c>
      <c r="B70" s="3" t="s">
        <v>76</v>
      </c>
      <c r="C70" s="4" t="n">
        <v>19</v>
      </c>
      <c r="D70" s="4" t="n">
        <v>32</v>
      </c>
      <c r="E70" s="4" t="n">
        <v>26.5</v>
      </c>
      <c r="F70" s="4" t="n">
        <v>35.4</v>
      </c>
      <c r="G70" s="4" t="n">
        <f aca="false">IFERROR(E70-F70,"")</f>
        <v>-8.9</v>
      </c>
    </row>
    <row r="71" customFormat="false" ht="15" hidden="false" customHeight="false" outlineLevel="0" collapsed="false">
      <c r="A71" s="2" t="n">
        <v>70</v>
      </c>
      <c r="B71" s="3" t="s">
        <v>77</v>
      </c>
      <c r="C71" s="4" t="n">
        <v>16.3</v>
      </c>
      <c r="D71" s="4" t="n">
        <v>20.5</v>
      </c>
      <c r="E71" s="4" t="n">
        <v>18.7</v>
      </c>
      <c r="F71" s="4" t="n">
        <v>19.5</v>
      </c>
      <c r="G71" s="4" t="n">
        <f aca="false">IFERROR(E71-F71,"")</f>
        <v>-0.800000000000001</v>
      </c>
    </row>
    <row r="72" customFormat="false" ht="15" hidden="false" customHeight="false" outlineLevel="0" collapsed="false">
      <c r="A72" s="2" t="n">
        <v>71</v>
      </c>
      <c r="B72" s="3" t="s">
        <v>78</v>
      </c>
      <c r="C72" s="4" t="n">
        <v>3.1</v>
      </c>
      <c r="D72" s="4" t="n">
        <v>5.6</v>
      </c>
      <c r="E72" s="4" t="n">
        <v>4.6</v>
      </c>
      <c r="F72" s="4" t="n">
        <v>8.4</v>
      </c>
      <c r="G72" s="4" t="n">
        <f aca="false">IFERROR(E72-F72,"")</f>
        <v>-3.8</v>
      </c>
    </row>
    <row r="73" customFormat="false" ht="15" hidden="false" customHeight="false" outlineLevel="0" collapsed="false">
      <c r="A73" s="2" t="n">
        <v>72</v>
      </c>
      <c r="B73" s="3" t="s">
        <v>79</v>
      </c>
      <c r="C73" s="4" t="n">
        <v>20.2</v>
      </c>
      <c r="D73" s="4" t="n">
        <v>33.4</v>
      </c>
      <c r="E73" s="4" t="n">
        <v>27.8</v>
      </c>
      <c r="F73" s="4" t="n">
        <v>32.9</v>
      </c>
      <c r="G73" s="4" t="n">
        <f aca="false">IFERROR(E73-F73,"")</f>
        <v>-5.1</v>
      </c>
    </row>
    <row r="74" customFormat="false" ht="15" hidden="false" customHeight="false" outlineLevel="0" collapsed="false">
      <c r="A74" s="2" t="n">
        <v>73</v>
      </c>
      <c r="B74" s="3" t="s">
        <v>80</v>
      </c>
      <c r="C74" s="4" t="n">
        <v>1.1</v>
      </c>
      <c r="D74" s="4" t="n">
        <v>0.9</v>
      </c>
      <c r="E74" s="4" t="n">
        <v>1</v>
      </c>
      <c r="F74" s="4" t="n">
        <v>3.2</v>
      </c>
      <c r="G74" s="4" t="n">
        <f aca="false">IFERROR(E74-F74,"")</f>
        <v>-2.2</v>
      </c>
    </row>
    <row r="75" customFormat="false" ht="15" hidden="false" customHeight="false" outlineLevel="0" collapsed="false">
      <c r="A75" s="2" t="n">
        <v>74</v>
      </c>
      <c r="B75" s="3" t="s">
        <v>81</v>
      </c>
      <c r="C75" s="4" t="n">
        <v>10.5</v>
      </c>
      <c r="D75" s="4" t="n">
        <v>18.6</v>
      </c>
      <c r="E75" s="4" t="n">
        <v>15.1</v>
      </c>
      <c r="F75" s="4" t="n">
        <v>17.2</v>
      </c>
      <c r="G75" s="4" t="n">
        <f aca="false">IFERROR(E75-F75,"")</f>
        <v>-2.1</v>
      </c>
    </row>
    <row r="76" customFormat="false" ht="15" hidden="false" customHeight="false" outlineLevel="0" collapsed="false">
      <c r="A76" s="2" t="n">
        <v>75</v>
      </c>
      <c r="B76" s="3" t="s">
        <v>82</v>
      </c>
      <c r="C76" s="4" t="n">
        <v>8.5</v>
      </c>
      <c r="D76" s="4" t="n">
        <v>18.4</v>
      </c>
      <c r="E76" s="4" t="n">
        <v>14</v>
      </c>
      <c r="F76" s="4" t="n">
        <v>14.3</v>
      </c>
      <c r="G76" s="4" t="n">
        <f aca="false">IFERROR(E76-F76,"")</f>
        <v>-0.300000000000001</v>
      </c>
    </row>
    <row r="77" customFormat="false" ht="15" hidden="false" customHeight="false" outlineLevel="0" collapsed="false">
      <c r="A77" s="2" t="n">
        <v>76</v>
      </c>
      <c r="B77" s="3" t="s">
        <v>83</v>
      </c>
      <c r="C77" s="4" t="n">
        <v>51.7</v>
      </c>
      <c r="D77" s="4" t="n">
        <v>33</v>
      </c>
      <c r="E77" s="4" t="n">
        <v>41.2</v>
      </c>
      <c r="F77" s="4" t="n">
        <v>30.2</v>
      </c>
      <c r="G77" s="4" t="n">
        <f aca="false">IFERROR(E77-F77,"")</f>
        <v>11</v>
      </c>
    </row>
    <row r="78" customFormat="false" ht="15" hidden="false" customHeight="false" outlineLevel="0" collapsed="false">
      <c r="A78" s="2" t="n">
        <v>77</v>
      </c>
      <c r="B78" s="3" t="s">
        <v>84</v>
      </c>
      <c r="C78" s="4" t="n">
        <v>42.9</v>
      </c>
      <c r="D78" s="4" t="n">
        <v>31.1</v>
      </c>
      <c r="E78" s="4" t="n">
        <v>36.4</v>
      </c>
      <c r="F78" s="4" t="n">
        <v>30.9</v>
      </c>
      <c r="G78" s="4" t="n">
        <f aca="false">IFERROR(E78-F78,"")</f>
        <v>5.5</v>
      </c>
    </row>
    <row r="79" customFormat="false" ht="15" hidden="false" customHeight="false" outlineLevel="0" collapsed="false">
      <c r="A79" s="2" t="n">
        <v>78</v>
      </c>
      <c r="B79" s="3" t="s">
        <v>85</v>
      </c>
      <c r="C79" s="4" t="n">
        <v>8.8</v>
      </c>
      <c r="D79" s="4" t="n">
        <v>8</v>
      </c>
      <c r="E79" s="4" t="n">
        <v>8.3</v>
      </c>
      <c r="F79" s="4" t="n">
        <v>5.7</v>
      </c>
      <c r="G79" s="4" t="n">
        <f aca="false">IFERROR(E79-F79,"")</f>
        <v>2.6</v>
      </c>
    </row>
    <row r="80" customFormat="false" ht="15" hidden="false" customHeight="false" outlineLevel="0" collapsed="false">
      <c r="A80" s="2" t="n">
        <v>79</v>
      </c>
      <c r="B80" s="3" t="s">
        <v>86</v>
      </c>
      <c r="C80" s="4" t="n">
        <v>14.8</v>
      </c>
      <c r="D80" s="4" t="n">
        <v>10.7</v>
      </c>
      <c r="E80" s="4" t="n">
        <v>12.4</v>
      </c>
      <c r="F80" s="4" t="n">
        <v>6.8</v>
      </c>
      <c r="G80" s="4" t="n">
        <f aca="false">IFERROR(E80-F80,"")</f>
        <v>5.6</v>
      </c>
    </row>
    <row r="81" customFormat="false" ht="23.85" hidden="false" customHeight="false" outlineLevel="0" collapsed="false">
      <c r="A81" s="2" t="n">
        <v>80</v>
      </c>
      <c r="B81" s="3" t="s">
        <v>87</v>
      </c>
      <c r="C81" s="4" t="n">
        <v>25.8</v>
      </c>
      <c r="D81" s="4" t="n">
        <v>20</v>
      </c>
      <c r="E81" s="4" t="n">
        <v>22.3</v>
      </c>
      <c r="F81" s="4" t="n">
        <v>14</v>
      </c>
      <c r="G81" s="4" t="n">
        <f aca="false">IFERROR(E81-F81,"")</f>
        <v>8.3</v>
      </c>
    </row>
    <row r="82" customFormat="false" ht="15" hidden="false" customHeight="false" outlineLevel="0" collapsed="false">
      <c r="A82" s="2" t="n">
        <v>81</v>
      </c>
      <c r="B82" s="3" t="s">
        <v>88</v>
      </c>
      <c r="C82" s="4" t="n">
        <v>9.2</v>
      </c>
      <c r="D82" s="4" t="n">
        <v>9.6</v>
      </c>
      <c r="E82" s="4" t="n">
        <v>9.4</v>
      </c>
      <c r="F82" s="4" t="n">
        <v>6.6</v>
      </c>
      <c r="G82" s="4" t="n">
        <f aca="false">IFERROR(E82-F82,"")</f>
        <v>2.8</v>
      </c>
    </row>
    <row r="83" customFormat="false" ht="15" hidden="false" customHeight="false" outlineLevel="0" collapsed="false">
      <c r="A83" s="2" t="n">
        <v>82</v>
      </c>
      <c r="B83" s="3" t="s">
        <v>89</v>
      </c>
      <c r="C83" s="4" t="n">
        <v>17.8</v>
      </c>
      <c r="D83" s="4" t="n">
        <v>13</v>
      </c>
      <c r="E83" s="4" t="n">
        <v>14.8</v>
      </c>
      <c r="F83" s="4" t="n">
        <v>7.6</v>
      </c>
      <c r="G83" s="4" t="n">
        <f aca="false">IFERROR(E83-F83,"")</f>
        <v>7.2</v>
      </c>
    </row>
    <row r="84" customFormat="false" ht="23.85" hidden="false" customHeight="false" outlineLevel="0" collapsed="false">
      <c r="A84" s="2" t="n">
        <v>83</v>
      </c>
      <c r="B84" s="3" t="s">
        <v>90</v>
      </c>
      <c r="C84" s="4" t="n">
        <v>29.7</v>
      </c>
      <c r="D84" s="4" t="n">
        <v>23.9</v>
      </c>
      <c r="E84" s="4" t="n">
        <v>26.1</v>
      </c>
      <c r="F84" s="4" t="n">
        <v>15.6</v>
      </c>
      <c r="G84" s="4" t="n">
        <f aca="false">IFERROR(E84-F84,"")</f>
        <v>10.5</v>
      </c>
    </row>
    <row r="85" customFormat="false" ht="23.85" hidden="false" customHeight="false" outlineLevel="0" collapsed="false">
      <c r="A85" s="2" t="n">
        <v>84</v>
      </c>
      <c r="B85" s="3" t="s">
        <v>91</v>
      </c>
      <c r="C85" s="4" t="n">
        <v>11.9</v>
      </c>
      <c r="D85" s="4" t="n">
        <v>11.4</v>
      </c>
      <c r="E85" s="4" t="n">
        <v>11.6</v>
      </c>
      <c r="F85" s="4" t="n">
        <v>14.8</v>
      </c>
      <c r="G85" s="4" t="n">
        <f aca="false">IFERROR(E85-F85,"")</f>
        <v>-3.2</v>
      </c>
    </row>
    <row r="86" customFormat="false" ht="23.85" hidden="false" customHeight="false" outlineLevel="0" collapsed="false">
      <c r="A86" s="2" t="n">
        <v>85</v>
      </c>
      <c r="B86" s="3" t="s">
        <v>92</v>
      </c>
      <c r="C86" s="4" t="n">
        <v>6.6</v>
      </c>
      <c r="D86" s="4" t="n">
        <v>6.3</v>
      </c>
      <c r="E86" s="4" t="n">
        <v>6.4</v>
      </c>
      <c r="F86" s="4" t="n">
        <v>6.2</v>
      </c>
      <c r="G86" s="4" t="n">
        <f aca="false">IFERROR(E86-F86,"")</f>
        <v>0.2</v>
      </c>
    </row>
    <row r="87" customFormat="false" ht="23.85" hidden="false" customHeight="false" outlineLevel="0" collapsed="false">
      <c r="A87" s="2" t="n">
        <v>86</v>
      </c>
      <c r="B87" s="3" t="s">
        <v>93</v>
      </c>
      <c r="C87" s="4" t="n">
        <v>27.8</v>
      </c>
      <c r="D87" s="4" t="n">
        <v>23.3</v>
      </c>
      <c r="E87" s="4" t="n">
        <v>25.1</v>
      </c>
      <c r="F87" s="4" t="n">
        <v>25</v>
      </c>
      <c r="G87" s="4" t="n">
        <f aca="false">IFERROR(E87-F87,"")</f>
        <v>0.100000000000001</v>
      </c>
    </row>
    <row r="88" customFormat="false" ht="15" hidden="false" customHeight="false" outlineLevel="0" collapsed="false">
      <c r="A88" s="2" t="n">
        <v>87</v>
      </c>
      <c r="B88" s="3" t="s">
        <v>94</v>
      </c>
      <c r="C88" s="4" t="n">
        <v>17.1</v>
      </c>
      <c r="D88" s="4" t="n">
        <v>14.4</v>
      </c>
      <c r="E88" s="4" t="n">
        <v>15.4</v>
      </c>
      <c r="F88" s="4" t="n">
        <v>17.2</v>
      </c>
      <c r="G88" s="4" t="n">
        <f aca="false">IFERROR(E88-F88,"")</f>
        <v>-1.8</v>
      </c>
    </row>
    <row r="89" customFormat="false" ht="23.85" hidden="false" customHeight="false" outlineLevel="0" collapsed="false">
      <c r="A89" s="2" t="n">
        <v>88</v>
      </c>
      <c r="B89" s="3" t="s">
        <v>95</v>
      </c>
      <c r="C89" s="4" t="n">
        <v>4.1</v>
      </c>
      <c r="D89" s="4" t="n">
        <v>3.9</v>
      </c>
      <c r="E89" s="4" t="n">
        <v>4</v>
      </c>
      <c r="F89" s="4" t="n">
        <v>6.7</v>
      </c>
      <c r="G89" s="4" t="n">
        <f aca="false">IFERROR(E89-F89,"")</f>
        <v>-2.7</v>
      </c>
    </row>
    <row r="90" customFormat="false" ht="23.85" hidden="false" customHeight="false" outlineLevel="0" collapsed="false">
      <c r="A90" s="2" t="n">
        <v>89</v>
      </c>
      <c r="B90" s="3" t="s">
        <v>96</v>
      </c>
      <c r="C90" s="4" t="n">
        <v>32.4</v>
      </c>
      <c r="D90" s="4" t="n">
        <v>25.7</v>
      </c>
      <c r="E90" s="4" t="n">
        <v>28.2</v>
      </c>
      <c r="F90" s="4" t="n">
        <v>26.9</v>
      </c>
      <c r="G90" s="4" t="n">
        <f aca="false">IFERROR(E90-F90,"")</f>
        <v>1.3</v>
      </c>
    </row>
    <row r="91" customFormat="false" ht="15" hidden="false" customHeight="false" outlineLevel="0" collapsed="false">
      <c r="A91" s="2" t="n">
        <v>90</v>
      </c>
      <c r="B91" s="3" t="s">
        <v>97</v>
      </c>
      <c r="C91" s="4" t="n">
        <v>92.9</v>
      </c>
      <c r="D91" s="4" t="n">
        <v>86.4</v>
      </c>
      <c r="E91" s="4" t="n">
        <v>89.2</v>
      </c>
      <c r="F91" s="4" t="n">
        <v>82.7</v>
      </c>
      <c r="G91" s="4" t="n">
        <f aca="false">IFERROR(E91-F91,"")</f>
        <v>6.5</v>
      </c>
    </row>
    <row r="92" customFormat="false" ht="15" hidden="false" customHeight="false" outlineLevel="0" collapsed="false">
      <c r="A92" s="2" t="n">
        <v>91</v>
      </c>
      <c r="B92" s="3" t="s">
        <v>98</v>
      </c>
      <c r="C92" s="4" t="n">
        <v>35.8</v>
      </c>
      <c r="D92" s="4" t="n">
        <v>44.2</v>
      </c>
      <c r="E92" s="4" t="n">
        <v>40.6</v>
      </c>
      <c r="F92" s="4" t="n">
        <v>37</v>
      </c>
      <c r="G92" s="4" t="n">
        <f aca="false">IFERROR(E92-F92,"")</f>
        <v>3.6</v>
      </c>
    </row>
    <row r="93" customFormat="false" ht="15" hidden="false" customHeight="false" outlineLevel="0" collapsed="false">
      <c r="A93" s="2" t="n">
        <v>92</v>
      </c>
      <c r="B93" s="3" t="s">
        <v>99</v>
      </c>
      <c r="C93" s="4" t="n">
        <v>94.4</v>
      </c>
      <c r="D93" s="4" t="n">
        <v>95</v>
      </c>
      <c r="E93" s="4" t="n">
        <v>94.7</v>
      </c>
      <c r="F93" s="4" t="n">
        <v>88.7</v>
      </c>
      <c r="G93" s="4" t="n">
        <f aca="false">IFERROR(E93-F93,"")</f>
        <v>6</v>
      </c>
    </row>
    <row r="94" customFormat="false" ht="15" hidden="false" customHeight="false" outlineLevel="0" collapsed="false">
      <c r="A94" s="2" t="n">
        <v>93</v>
      </c>
      <c r="B94" s="3" t="s">
        <v>100</v>
      </c>
      <c r="C94" s="4" t="n">
        <v>85.9</v>
      </c>
      <c r="D94" s="4" t="n">
        <v>61.7</v>
      </c>
      <c r="E94" s="4" t="n">
        <v>72.4</v>
      </c>
      <c r="F94" s="4" t="n">
        <v>61.8</v>
      </c>
      <c r="G94" s="4" t="n">
        <f aca="false">IFERROR(E94-F94,"")</f>
        <v>10.6</v>
      </c>
    </row>
    <row r="95" customFormat="false" ht="15" hidden="false" customHeight="false" outlineLevel="0" collapsed="false">
      <c r="A95" s="2" t="n">
        <v>94</v>
      </c>
      <c r="B95" s="3" t="s">
        <v>101</v>
      </c>
      <c r="C95" s="4" t="n">
        <v>93.6</v>
      </c>
      <c r="D95" s="4" t="n">
        <v>77.4</v>
      </c>
      <c r="E95" s="4" t="n">
        <v>84.1</v>
      </c>
      <c r="F95" s="4" t="n">
        <v>84.6</v>
      </c>
      <c r="G95" s="4" t="n">
        <f aca="false">IFERROR(E95-F95,"")</f>
        <v>-0.5</v>
      </c>
    </row>
    <row r="96" customFormat="false" ht="15" hidden="false" customHeight="false" outlineLevel="0" collapsed="false">
      <c r="A96" s="2" t="n">
        <v>95</v>
      </c>
      <c r="B96" s="3" t="s">
        <v>102</v>
      </c>
      <c r="C96" s="4" t="n">
        <v>6.9</v>
      </c>
      <c r="D96" s="4" t="n">
        <v>19.9</v>
      </c>
      <c r="E96" s="4" t="n">
        <v>14.1</v>
      </c>
      <c r="F96" s="4" t="n">
        <v>44.4</v>
      </c>
      <c r="G96" s="4" t="n">
        <f aca="false">IFERROR(E96-F96,"")</f>
        <v>-30.3</v>
      </c>
    </row>
    <row r="97" customFormat="false" ht="23.85" hidden="false" customHeight="false" outlineLevel="0" collapsed="false">
      <c r="A97" s="2" t="n">
        <v>96</v>
      </c>
      <c r="B97" s="3" t="s">
        <v>103</v>
      </c>
      <c r="C97" s="4" t="n">
        <v>2.2</v>
      </c>
      <c r="D97" s="4" t="n">
        <v>3.5</v>
      </c>
      <c r="E97" s="4" t="n">
        <v>2.9</v>
      </c>
      <c r="F97" s="4" t="n">
        <v>5.8</v>
      </c>
      <c r="G97" s="4" t="n">
        <f aca="false">IFERROR(E97-F97,"")</f>
        <v>-2.9</v>
      </c>
    </row>
    <row r="98" customFormat="false" ht="15" hidden="false" customHeight="false" outlineLevel="0" collapsed="false">
      <c r="A98" s="2" t="n">
        <v>97</v>
      </c>
      <c r="B98" s="3" t="s">
        <v>104</v>
      </c>
      <c r="C98" s="4" t="n">
        <v>0</v>
      </c>
      <c r="D98" s="4" t="n">
        <v>0.2</v>
      </c>
      <c r="E98" s="4" t="n">
        <v>0.1</v>
      </c>
      <c r="F98" s="4" t="n">
        <v>2.1</v>
      </c>
      <c r="G98" s="4" t="n">
        <f aca="false">IFERROR(E98-F98,"")</f>
        <v>-2</v>
      </c>
    </row>
    <row r="99" customFormat="false" ht="15" hidden="false" customHeight="false" outlineLevel="0" collapsed="false">
      <c r="A99" s="2" t="n">
        <v>98</v>
      </c>
      <c r="B99" s="3" t="s">
        <v>105</v>
      </c>
      <c r="C99" s="4" t="n">
        <v>2.3</v>
      </c>
      <c r="D99" s="4" t="n">
        <v>9.4</v>
      </c>
      <c r="E99" s="4" t="n">
        <v>6.4</v>
      </c>
      <c r="F99" s="4" t="n">
        <v>8.6</v>
      </c>
      <c r="G99" s="4" t="n">
        <f aca="false">IFERROR(E99-F99,"")</f>
        <v>-2.2</v>
      </c>
    </row>
    <row r="100" customFormat="false" ht="15" hidden="false" customHeight="false" outlineLevel="0" collapsed="false">
      <c r="A100" s="2" t="n">
        <v>99</v>
      </c>
      <c r="B100" s="3" t="s">
        <v>106</v>
      </c>
      <c r="C100" s="4" t="n">
        <v>18.1</v>
      </c>
      <c r="D100" s="4" t="n">
        <v>28.6</v>
      </c>
      <c r="E100" s="4" t="n">
        <v>24.2</v>
      </c>
      <c r="F100" s="4" t="n">
        <v>27.3</v>
      </c>
      <c r="G100" s="4" t="n">
        <f aca="false">IFERROR(E100-F100,"")</f>
        <v>-3.1</v>
      </c>
    </row>
    <row r="101" customFormat="false" ht="15" hidden="false" customHeight="false" outlineLevel="0" collapsed="false">
      <c r="A101" s="2" t="n">
        <v>100</v>
      </c>
      <c r="B101" s="3" t="s">
        <v>107</v>
      </c>
      <c r="C101" s="4" t="n">
        <v>0.2</v>
      </c>
      <c r="D101" s="4" t="n">
        <v>0.8</v>
      </c>
      <c r="E101" s="4" t="n">
        <v>0.5</v>
      </c>
      <c r="F101" s="4" t="n">
        <v>0.9</v>
      </c>
      <c r="G101" s="4" t="n">
        <f aca="false">IFERROR(E101-F101,"")</f>
        <v>-0.4</v>
      </c>
    </row>
    <row r="102" customFormat="false" ht="15" hidden="false" customHeight="false" outlineLevel="0" collapsed="false">
      <c r="A102" s="2" t="n">
        <v>101</v>
      </c>
      <c r="B102" s="3" t="s">
        <v>108</v>
      </c>
      <c r="C102" s="4" t="n">
        <v>13.3</v>
      </c>
      <c r="D102" s="4" t="n">
        <v>17.3</v>
      </c>
      <c r="E102" s="4" t="n">
        <v>15.6</v>
      </c>
      <c r="F102" s="4" t="n">
        <v>16.6</v>
      </c>
      <c r="G102" s="4" t="n">
        <f aca="false">IFERROR(E102-F102,"")</f>
        <v>-1</v>
      </c>
    </row>
  </sheetData>
  <autoFilter ref="A1:G10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1" t="s">
        <v>109</v>
      </c>
      <c r="B1" s="12"/>
    </row>
    <row r="2" customFormat="false" ht="23.85" hidden="false" customHeight="false" outlineLevel="0" collapsed="false">
      <c r="A2" s="13" t="s">
        <v>110</v>
      </c>
      <c r="B2" s="12" t="s">
        <v>111</v>
      </c>
    </row>
    <row r="3" customFormat="false" ht="15" hidden="false" customHeight="false" outlineLevel="0" collapsed="false">
      <c r="A3" s="13" t="s">
        <v>112</v>
      </c>
      <c r="B3" s="12" t="s">
        <v>113</v>
      </c>
    </row>
    <row r="4" customFormat="false" ht="15" hidden="false" customHeight="false" outlineLevel="0" collapsed="false">
      <c r="A4" s="13" t="s">
        <v>114</v>
      </c>
      <c r="B4" s="12" t="s">
        <v>115</v>
      </c>
    </row>
    <row r="5" customFormat="false" ht="23.85" hidden="false" customHeight="false" outlineLevel="0" collapsed="false">
      <c r="A5" s="13" t="s">
        <v>116</v>
      </c>
      <c r="B5" s="12" t="s">
        <v>117</v>
      </c>
    </row>
    <row r="6" customFormat="false" ht="15" hidden="false" customHeight="false" outlineLevel="0" collapsed="false">
      <c r="A6" s="13" t="s">
        <v>118</v>
      </c>
      <c r="B6" s="12" t="s">
        <v>119</v>
      </c>
    </row>
    <row r="7" customFormat="false" ht="15" hidden="false" customHeight="false" outlineLevel="0" collapsed="false">
      <c r="A7" s="13" t="s">
        <v>120</v>
      </c>
      <c r="B7" s="12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2026-10-08T07:06:17Z</dcterms:created>
  <dc:creator>openpyxl</dc:creator>
  <dc:description/>
  <dc:language>en-US</dc:language>
  <cp:lastModifiedBy/>
  <dcterms:modified xsi:type="dcterms:W3CDTF">2026-10-08T07:06:17Z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